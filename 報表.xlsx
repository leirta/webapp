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New project\"/>
    </mc:Choice>
  </mc:AlternateContent>
  <xr:revisionPtr revIDLastSave="0" documentId="8_{7B5293E1-2281-494F-B874-C2CBFC3D6C00}" xr6:coauthVersionLast="47" xr6:coauthVersionMax="47" xr10:uidLastSave="{00000000-0000-0000-0000-000000000000}"/>
  <bookViews>
    <workbookView xWindow="-113" yWindow="-113" windowWidth="24267" windowHeight="13148" activeTab="1" xr2:uid="{6A177C3E-4AC4-4A49-A500-CBB3ED28146F}"/>
  </bookViews>
  <sheets>
    <sheet name="總表" sheetId="1" r:id="rId1"/>
    <sheet name="月報表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  <c r="L5" i="1"/>
  <c r="L4" i="1"/>
  <c r="L3" i="1"/>
  <c r="L2" i="1"/>
  <c r="M7" i="1" l="1"/>
  <c r="N7" i="1" s="1"/>
  <c r="M6" i="1"/>
  <c r="N6" i="1" s="1"/>
  <c r="M5" i="1"/>
  <c r="N5" i="1" s="1"/>
  <c r="M4" i="1"/>
  <c r="N4" i="1" s="1"/>
  <c r="M3" i="1"/>
  <c r="N3" i="1" s="1"/>
  <c r="M2" i="1"/>
  <c r="N2" i="1" s="1"/>
</calcChain>
</file>

<file path=xl/sharedStrings.xml><?xml version="1.0" encoding="utf-8"?>
<sst xmlns="http://schemas.openxmlformats.org/spreadsheetml/2006/main" count="213" uniqueCount="82">
  <si>
    <t>請款月份</t>
    <phoneticPr fontId="4" type="noConversion"/>
  </si>
  <si>
    <t>發票日期</t>
    <phoneticPr fontId="4" type="noConversion"/>
  </si>
  <si>
    <t>發票號碼</t>
    <phoneticPr fontId="4" type="noConversion"/>
  </si>
  <si>
    <t>施作日期</t>
    <phoneticPr fontId="4" type="noConversion"/>
  </si>
  <si>
    <t>發票別</t>
    <phoneticPr fontId="4" type="noConversion"/>
  </si>
  <si>
    <t>客戶別</t>
    <phoneticPr fontId="4" type="noConversion"/>
  </si>
  <si>
    <t>報表名稱</t>
  </si>
  <si>
    <t>項目</t>
    <phoneticPr fontId="4" type="noConversion"/>
  </si>
  <si>
    <t>數量</t>
    <phoneticPr fontId="4" type="noConversion"/>
  </si>
  <si>
    <t>單位</t>
    <phoneticPr fontId="4" type="noConversion"/>
  </si>
  <si>
    <t>單價</t>
    <phoneticPr fontId="4" type="noConversion"/>
  </si>
  <si>
    <t>未稅額</t>
    <phoneticPr fontId="4" type="noConversion"/>
  </si>
  <si>
    <t>稅金</t>
    <phoneticPr fontId="4" type="noConversion"/>
  </si>
  <si>
    <t>小計</t>
    <phoneticPr fontId="4" type="noConversion"/>
  </si>
  <si>
    <t>區域</t>
    <phoneticPr fontId="4" type="noConversion"/>
  </si>
  <si>
    <t>備註</t>
    <phoneticPr fontId="4" type="noConversion"/>
  </si>
  <si>
    <t>業績</t>
    <phoneticPr fontId="4" type="noConversion"/>
  </si>
  <si>
    <t>公司抬頭</t>
    <phoneticPr fontId="4" type="noConversion"/>
  </si>
  <si>
    <t>統一編號</t>
    <phoneticPr fontId="4" type="noConversion"/>
  </si>
  <si>
    <t>第一次開發票日期</t>
    <phoneticPr fontId="4" type="noConversion"/>
  </si>
  <si>
    <t>發票備註</t>
    <phoneticPr fontId="4" type="noConversion"/>
  </si>
  <si>
    <t>請款月份</t>
  </si>
  <si>
    <t>發票別</t>
  </si>
  <si>
    <t>區域</t>
  </si>
  <si>
    <t>台北</t>
  </si>
  <si>
    <t>客戶別</t>
  </si>
  <si>
    <t>公司抬頭</t>
  </si>
  <si>
    <t>項目</t>
  </si>
  <si>
    <t xml:space="preserve">未稅額 </t>
  </si>
  <si>
    <t xml:space="preserve">稅金 </t>
  </si>
  <si>
    <t xml:space="preserve">小計 </t>
  </si>
  <si>
    <t>發票號碼</t>
  </si>
  <si>
    <t>備註</t>
  </si>
  <si>
    <t>115年3月</t>
  </si>
  <si>
    <t>一般病蟲害暨老鼠防治</t>
  </si>
  <si>
    <t>八德</t>
  </si>
  <si>
    <t>中和中山</t>
  </si>
  <si>
    <t>台北京站</t>
  </si>
  <si>
    <t>永安</t>
  </si>
  <si>
    <t>南港環球</t>
  </si>
  <si>
    <t>興隆</t>
  </si>
  <si>
    <t>台灣之光三聯</t>
    <phoneticPr fontId="4" type="noConversion"/>
  </si>
  <si>
    <t>喜時三聯</t>
    <phoneticPr fontId="4" type="noConversion"/>
  </si>
  <si>
    <t>喜時二聯</t>
    <phoneticPr fontId="4" type="noConversion"/>
  </si>
  <si>
    <t>-</t>
    <phoneticPr fontId="4" type="noConversion"/>
  </si>
  <si>
    <t>白夜行三聯</t>
    <phoneticPr fontId="4" type="noConversion"/>
  </si>
  <si>
    <t>現收款</t>
    <phoneticPr fontId="4" type="noConversion"/>
  </si>
  <si>
    <t>匯款</t>
    <phoneticPr fontId="4" type="noConversion"/>
  </si>
  <si>
    <t>其他</t>
    <phoneticPr fontId="4" type="noConversion"/>
  </si>
  <si>
    <r>
      <rPr>
        <sz val="12"/>
        <color theme="1"/>
        <rFont val="Microsoft JhengHei"/>
        <family val="2"/>
      </rPr>
      <t>客戶</t>
    </r>
    <r>
      <rPr>
        <sz val="12"/>
        <color theme="1"/>
        <rFont val="Calibri"/>
        <family val="2"/>
      </rPr>
      <t>A</t>
    </r>
    <phoneticPr fontId="3" type="noConversion"/>
  </si>
  <si>
    <t>客戶B</t>
    <phoneticPr fontId="3" type="noConversion"/>
  </si>
  <si>
    <t>客戶C</t>
    <phoneticPr fontId="3" type="noConversion"/>
  </si>
  <si>
    <t>客戶D</t>
    <phoneticPr fontId="3" type="noConversion"/>
  </si>
  <si>
    <t>客戶E</t>
    <phoneticPr fontId="3" type="noConversion"/>
  </si>
  <si>
    <t>式</t>
    <phoneticPr fontId="4" type="noConversion"/>
  </si>
  <si>
    <t>台北</t>
    <phoneticPr fontId="4" type="noConversion"/>
  </si>
  <si>
    <t>115年3月</t>
    <phoneticPr fontId="15" type="noConversion"/>
  </si>
  <si>
    <t>ZF88888888</t>
    <phoneticPr fontId="4" type="noConversion"/>
  </si>
  <si>
    <t>ZF88888889</t>
  </si>
  <si>
    <t>ZF88888891</t>
  </si>
  <si>
    <t>ZF88888892</t>
  </si>
  <si>
    <t>ZF88888893</t>
  </si>
  <si>
    <t>主管A</t>
    <phoneticPr fontId="3" type="noConversion"/>
  </si>
  <si>
    <t>狐一一</t>
    <phoneticPr fontId="3" type="noConversion"/>
  </si>
  <si>
    <t>狐二二</t>
    <phoneticPr fontId="3" type="noConversion"/>
  </si>
  <si>
    <t>狐三三</t>
    <phoneticPr fontId="3" type="noConversion"/>
  </si>
  <si>
    <t>狐四</t>
    <phoneticPr fontId="3" type="noConversion"/>
  </si>
  <si>
    <t>狐五</t>
    <phoneticPr fontId="3" type="noConversion"/>
  </si>
  <si>
    <t>狐六</t>
    <phoneticPr fontId="3" type="noConversion"/>
  </si>
  <si>
    <t>桃園</t>
    <phoneticPr fontId="4" type="noConversion"/>
  </si>
  <si>
    <t>新竹</t>
    <phoneticPr fontId="4" type="noConversion"/>
  </si>
  <si>
    <t>台中</t>
    <phoneticPr fontId="4" type="noConversion"/>
  </si>
  <si>
    <t>台南</t>
    <phoneticPr fontId="4" type="noConversion"/>
  </si>
  <si>
    <t>高雄</t>
    <phoneticPr fontId="4" type="noConversion"/>
  </si>
  <si>
    <t>客戶A 合計</t>
    <phoneticPr fontId="3" type="noConversion"/>
  </si>
  <si>
    <t>其他 合計</t>
    <phoneticPr fontId="3" type="noConversion"/>
  </si>
  <si>
    <t>客戶B 合計</t>
    <phoneticPr fontId="3" type="noConversion"/>
  </si>
  <si>
    <t>ZF88888890</t>
    <phoneticPr fontId="3" type="noConversion"/>
  </si>
  <si>
    <t>ZF88888890</t>
    <phoneticPr fontId="4" type="noConversion"/>
  </si>
  <si>
    <t>客戶C 合計</t>
    <phoneticPr fontId="3" type="noConversion"/>
  </si>
  <si>
    <t>客戶D 合計</t>
    <phoneticPr fontId="3" type="noConversion"/>
  </si>
  <si>
    <t>客戶E 合計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</si>
</sst>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[$-404]e\.mm\.dd"/>
    <numFmt numFmtId="177" formatCode="_-* #,##0_-;\-* #,##0_-;_-* &quot;-&quot;??_-;_-@_-"/>
    <numFmt numFmtId="178" formatCode="#,##0_);[Red]\(#,##0\)"/>
  </numFmts>
  <fonts count="16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8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2"/>
      <color theme="1"/>
      <name val="Microsoft JhengHei"/>
      <family val="2"/>
    </font>
    <font>
      <sz val="12"/>
      <color theme="1"/>
      <name val="Calibri"/>
      <family val="2"/>
    </font>
    <font>
      <sz val="12"/>
      <name val="新細明體"/>
      <family val="1"/>
      <charset val="136"/>
    </font>
    <font>
      <sz val="8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3" fillId="0" borderId="0"/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top"/>
    </xf>
    <xf numFmtId="176" fontId="2" fillId="2" borderId="1" xfId="0" applyNumberFormat="1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0" fillId="2" borderId="0" xfId="0" applyFill="1" applyAlignment="1">
      <alignment vertical="top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/>
    <xf numFmtId="0" fontId="7" fillId="3" borderId="1" xfId="0" applyFont="1" applyFill="1" applyBorder="1">
      <alignment vertical="center"/>
    </xf>
    <xf numFmtId="177" fontId="7" fillId="3" borderId="1" xfId="0" applyNumberFormat="1" applyFont="1" applyFill="1" applyBorder="1">
      <alignment vertical="center"/>
    </xf>
    <xf numFmtId="0" fontId="8" fillId="4" borderId="1" xfId="0" applyFont="1" applyFill="1" applyBorder="1">
      <alignment vertical="center"/>
    </xf>
    <xf numFmtId="177" fontId="8" fillId="4" borderId="1" xfId="0" applyNumberFormat="1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9" fillId="5" borderId="1" xfId="2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center" vertical="center"/>
    </xf>
    <xf numFmtId="178" fontId="9" fillId="5" borderId="2" xfId="1" applyNumberFormat="1" applyFont="1" applyFill="1" applyBorder="1" applyAlignment="1">
      <alignment horizontal="right" vertical="center"/>
    </xf>
    <xf numFmtId="178" fontId="14" fillId="5" borderId="2" xfId="0" applyNumberFormat="1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178" fontId="14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10" fillId="0" borderId="2" xfId="0" applyNumberFormat="1" applyFont="1" applyBorder="1" applyAlignment="1">
      <alignment horizontal="left" vertical="center"/>
    </xf>
    <xf numFmtId="176" fontId="9" fillId="0" borderId="2" xfId="0" applyNumberFormat="1" applyFont="1" applyBorder="1" applyAlignment="1">
      <alignment horizontal="left" vertical="center"/>
    </xf>
  </cellXfs>
  <cellStyles count="3">
    <cellStyle name="一般" xfId="0" builtinId="0"/>
    <cellStyle name="一般 12" xfId="2" xr:uid="{7D62D885-0E28-4F46-B488-0F9B9C35A470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B415-6E15-4FA1-BB4A-240F6EC4AA58}">
  <dimension ref="A1:U7"/>
  <sheetViews>
    <sheetView workbookViewId="0">
      <selection activeCell="C7" sqref="C7"/>
    </sheetView>
  </sheetViews>
  <sheetFormatPr defaultRowHeight="15.65"/>
  <cols>
    <col min="5" max="5" width="9.08984375" customWidth="1"/>
    <col min="7" max="7" width="8.26953125" customWidth="1"/>
    <col min="8" max="8" width="14.90625" customWidth="1"/>
    <col min="18" max="18" width="14.54296875" customWidth="1"/>
    <col min="19" max="19" width="10.08984375" customWidth="1"/>
    <col min="20" max="20" width="12.90625" customWidth="1"/>
  </cols>
  <sheetData>
    <row r="1" spans="1:21" s="5" customFormat="1" ht="25.5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23">
        <v>11503</v>
      </c>
      <c r="B2" s="24">
        <v>46105</v>
      </c>
      <c r="C2" s="25" t="s">
        <v>57</v>
      </c>
      <c r="D2" s="24" t="s">
        <v>44</v>
      </c>
      <c r="E2" s="13" t="s">
        <v>41</v>
      </c>
      <c r="F2" s="15" t="s">
        <v>48</v>
      </c>
      <c r="G2" s="15" t="s">
        <v>38</v>
      </c>
      <c r="H2" s="17" t="s">
        <v>34</v>
      </c>
      <c r="I2" s="18">
        <v>1</v>
      </c>
      <c r="J2" s="18" t="s">
        <v>54</v>
      </c>
      <c r="K2" s="19">
        <v>2800</v>
      </c>
      <c r="L2" s="19">
        <f t="shared" ref="L2:L7" si="0">K2*I2</f>
        <v>2800</v>
      </c>
      <c r="M2" s="19">
        <f t="shared" ref="M2:M7" si="1">ROUND(L2*0.05,0)</f>
        <v>140</v>
      </c>
      <c r="N2" s="19">
        <f t="shared" ref="N2:N7" si="2">L2+M2</f>
        <v>2940</v>
      </c>
      <c r="O2" s="20" t="s">
        <v>55</v>
      </c>
      <c r="P2" s="21" t="s">
        <v>56</v>
      </c>
      <c r="Q2" t="s">
        <v>62</v>
      </c>
      <c r="R2" t="s">
        <v>63</v>
      </c>
      <c r="S2">
        <v>11111111</v>
      </c>
    </row>
    <row r="3" spans="1:21">
      <c r="A3" s="23">
        <v>11503</v>
      </c>
      <c r="B3" s="24">
        <v>46105</v>
      </c>
      <c r="C3" s="25" t="s">
        <v>58</v>
      </c>
      <c r="D3" s="24" t="s">
        <v>44</v>
      </c>
      <c r="E3" s="14" t="s">
        <v>42</v>
      </c>
      <c r="F3" t="s">
        <v>49</v>
      </c>
      <c r="G3" s="15" t="s">
        <v>40</v>
      </c>
      <c r="H3" s="17" t="s">
        <v>34</v>
      </c>
      <c r="I3" s="18">
        <v>1</v>
      </c>
      <c r="J3" s="18" t="s">
        <v>54</v>
      </c>
      <c r="K3" s="19">
        <v>2800</v>
      </c>
      <c r="L3" s="19">
        <f t="shared" si="0"/>
        <v>2800</v>
      </c>
      <c r="M3" s="19">
        <f t="shared" si="1"/>
        <v>140</v>
      </c>
      <c r="N3" s="19">
        <f t="shared" si="2"/>
        <v>2940</v>
      </c>
      <c r="O3" s="20" t="s">
        <v>69</v>
      </c>
      <c r="P3" s="21" t="s">
        <v>56</v>
      </c>
      <c r="Q3" t="s">
        <v>62</v>
      </c>
      <c r="R3" t="s">
        <v>64</v>
      </c>
      <c r="S3">
        <v>11111112</v>
      </c>
    </row>
    <row r="4" spans="1:21">
      <c r="A4" s="23">
        <v>11503</v>
      </c>
      <c r="B4" s="24">
        <v>46105</v>
      </c>
      <c r="C4" s="25" t="s">
        <v>77</v>
      </c>
      <c r="D4" s="24" t="s">
        <v>44</v>
      </c>
      <c r="E4" s="14" t="s">
        <v>43</v>
      </c>
      <c r="F4" s="16" t="s">
        <v>50</v>
      </c>
      <c r="G4" s="15" t="s">
        <v>35</v>
      </c>
      <c r="H4" s="17" t="s">
        <v>34</v>
      </c>
      <c r="I4" s="18">
        <v>1</v>
      </c>
      <c r="J4" s="18" t="s">
        <v>54</v>
      </c>
      <c r="K4" s="19">
        <v>2800</v>
      </c>
      <c r="L4" s="19">
        <f t="shared" si="0"/>
        <v>2800</v>
      </c>
      <c r="M4" s="19">
        <f t="shared" si="1"/>
        <v>140</v>
      </c>
      <c r="N4" s="19">
        <f t="shared" si="2"/>
        <v>2940</v>
      </c>
      <c r="O4" s="20" t="s">
        <v>70</v>
      </c>
      <c r="P4" s="21" t="s">
        <v>56</v>
      </c>
      <c r="Q4" t="s">
        <v>62</v>
      </c>
      <c r="R4" t="s">
        <v>65</v>
      </c>
      <c r="S4">
        <v>11111113</v>
      </c>
    </row>
    <row r="5" spans="1:21">
      <c r="A5" s="23">
        <v>11503</v>
      </c>
      <c r="B5" s="24">
        <v>46105</v>
      </c>
      <c r="C5" s="25" t="s">
        <v>59</v>
      </c>
      <c r="D5" s="24" t="s">
        <v>44</v>
      </c>
      <c r="E5" s="14" t="s">
        <v>45</v>
      </c>
      <c r="F5" s="16" t="s">
        <v>51</v>
      </c>
      <c r="G5" s="15" t="s">
        <v>36</v>
      </c>
      <c r="H5" s="17" t="s">
        <v>34</v>
      </c>
      <c r="I5" s="18">
        <v>1</v>
      </c>
      <c r="J5" s="18" t="s">
        <v>54</v>
      </c>
      <c r="K5" s="19">
        <v>2800</v>
      </c>
      <c r="L5" s="19">
        <f t="shared" si="0"/>
        <v>2800</v>
      </c>
      <c r="M5" s="19">
        <f t="shared" si="1"/>
        <v>140</v>
      </c>
      <c r="N5" s="19">
        <f t="shared" si="2"/>
        <v>2940</v>
      </c>
      <c r="O5" s="20" t="s">
        <v>71</v>
      </c>
      <c r="P5" s="21" t="s">
        <v>56</v>
      </c>
      <c r="Q5" t="s">
        <v>62</v>
      </c>
      <c r="R5" t="s">
        <v>66</v>
      </c>
      <c r="S5">
        <v>11111114</v>
      </c>
    </row>
    <row r="6" spans="1:21">
      <c r="A6" s="23">
        <v>11503</v>
      </c>
      <c r="B6" s="24">
        <v>46105</v>
      </c>
      <c r="C6" s="25" t="s">
        <v>60</v>
      </c>
      <c r="D6" s="24" t="s">
        <v>44</v>
      </c>
      <c r="E6" s="14" t="s">
        <v>46</v>
      </c>
      <c r="F6" s="16" t="s">
        <v>52</v>
      </c>
      <c r="G6" s="15" t="s">
        <v>39</v>
      </c>
      <c r="H6" s="17" t="s">
        <v>34</v>
      </c>
      <c r="I6" s="18">
        <v>1</v>
      </c>
      <c r="J6" s="18" t="s">
        <v>54</v>
      </c>
      <c r="K6" s="19">
        <v>2800</v>
      </c>
      <c r="L6" s="19">
        <f t="shared" si="0"/>
        <v>2800</v>
      </c>
      <c r="M6" s="19">
        <f t="shared" si="1"/>
        <v>140</v>
      </c>
      <c r="N6" s="19">
        <f t="shared" si="2"/>
        <v>2940</v>
      </c>
      <c r="O6" s="20" t="s">
        <v>72</v>
      </c>
      <c r="P6" s="21" t="s">
        <v>56</v>
      </c>
      <c r="Q6" t="s">
        <v>62</v>
      </c>
      <c r="R6" t="s">
        <v>67</v>
      </c>
      <c r="S6">
        <v>11111115</v>
      </c>
    </row>
    <row r="7" spans="1:21">
      <c r="A7" s="23">
        <v>11503</v>
      </c>
      <c r="B7" s="24">
        <v>46105</v>
      </c>
      <c r="C7" s="25" t="s">
        <v>61</v>
      </c>
      <c r="D7" s="24" t="s">
        <v>44</v>
      </c>
      <c r="E7" s="14" t="s">
        <v>47</v>
      </c>
      <c r="F7" s="16" t="s">
        <v>53</v>
      </c>
      <c r="G7" s="15" t="s">
        <v>37</v>
      </c>
      <c r="H7" s="17" t="s">
        <v>34</v>
      </c>
      <c r="I7" s="18">
        <v>1</v>
      </c>
      <c r="J7" s="18" t="s">
        <v>54</v>
      </c>
      <c r="K7" s="19">
        <v>2800</v>
      </c>
      <c r="L7" s="19">
        <f t="shared" si="0"/>
        <v>2800</v>
      </c>
      <c r="M7" s="19">
        <f t="shared" si="1"/>
        <v>140</v>
      </c>
      <c r="N7" s="19">
        <f t="shared" si="2"/>
        <v>2940</v>
      </c>
      <c r="O7" s="22" t="s">
        <v>73</v>
      </c>
      <c r="P7" s="21" t="s">
        <v>56</v>
      </c>
      <c r="Q7" t="s">
        <v>62</v>
      </c>
      <c r="R7" t="s">
        <v>68</v>
      </c>
      <c r="S7">
        <v>11111116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011B-0484-4136-82DF-2557632ACDEF}">
  <dimension ref="A1:I42"/>
  <sheetViews>
    <sheetView tabSelected="1" workbookViewId="0">
      <selection activeCell="F46" sqref="F46"/>
    </sheetView>
  </sheetViews>
  <sheetFormatPr defaultRowHeight="15.65"/>
  <cols>
    <col min="1" max="1" width="16.08984375" style="8" bestFit="1" customWidth="1"/>
    <col min="2" max="2" width="38.1796875" style="8" bestFit="1" customWidth="1"/>
    <col min="3" max="3" width="33.08984375" style="8" bestFit="1" customWidth="1"/>
    <col min="4" max="4" width="23.08984375" style="8" bestFit="1" customWidth="1"/>
    <col min="5" max="5" width="9.1796875" style="8" bestFit="1" customWidth="1"/>
    <col min="6" max="6" width="8.08984375" style="8" bestFit="1" customWidth="1"/>
    <col min="7" max="7" width="9.1796875" style="8" bestFit="1" customWidth="1"/>
    <col min="8" max="8" width="11.453125" style="8" bestFit="1" customWidth="1"/>
    <col min="9" max="9" width="17.36328125" style="8" bestFit="1" customWidth="1"/>
  </cols>
  <sheetData>
    <row r="1" spans="1:9" ht="16.3">
      <c r="A1" s="6" t="s">
        <v>21</v>
      </c>
      <c r="B1" s="7">
        <v>11503</v>
      </c>
    </row>
    <row r="2" spans="1:9" ht="16.3">
      <c r="A2" s="6" t="s">
        <v>22</v>
      </c>
      <c r="B2" s="13" t="s">
        <v>41</v>
      </c>
    </row>
    <row r="3" spans="1:9" ht="16.3">
      <c r="A3" s="6" t="s">
        <v>23</v>
      </c>
      <c r="B3" s="6" t="s">
        <v>24</v>
      </c>
    </row>
    <row r="4" spans="1:9" ht="16.3">
      <c r="A4" s="9" t="s">
        <v>25</v>
      </c>
      <c r="B4" s="9" t="s">
        <v>26</v>
      </c>
      <c r="C4" s="9" t="s">
        <v>6</v>
      </c>
      <c r="D4" s="9" t="s">
        <v>27</v>
      </c>
      <c r="E4" s="10" t="s">
        <v>28</v>
      </c>
      <c r="F4" s="10" t="s">
        <v>29</v>
      </c>
      <c r="G4" s="10" t="s">
        <v>30</v>
      </c>
      <c r="H4" s="9" t="s">
        <v>31</v>
      </c>
      <c r="I4" s="9" t="s">
        <v>32</v>
      </c>
    </row>
    <row r="5" spans="1:9" ht="16.3">
      <c r="A5" s="15" t="s">
        <v>48</v>
      </c>
      <c r="B5" t="s">
        <v>63</v>
      </c>
      <c r="C5" s="15" t="s">
        <v>38</v>
      </c>
      <c r="D5" s="17" t="s">
        <v>34</v>
      </c>
      <c r="E5" s="19">
        <v>2800</v>
      </c>
      <c r="F5" s="19">
        <v>140</v>
      </c>
      <c r="G5" s="19">
        <v>2940</v>
      </c>
      <c r="H5" s="25" t="s">
        <v>57</v>
      </c>
      <c r="I5" s="6" t="s">
        <v>33</v>
      </c>
    </row>
    <row r="6" spans="1:9" ht="16.3">
      <c r="A6" s="11" t="s">
        <v>75</v>
      </c>
      <c r="B6" s="11"/>
      <c r="C6" s="11"/>
      <c r="D6" s="11"/>
      <c r="E6" s="12">
        <v>2800</v>
      </c>
      <c r="F6" s="12">
        <v>140</v>
      </c>
      <c r="G6" s="12">
        <v>2940</v>
      </c>
      <c r="H6" s="11"/>
      <c r="I6" s="11"/>
    </row>
    <row r="8" spans="1:9" ht="16.3">
      <c r="A8" s="6" t="s">
        <v>21</v>
      </c>
      <c r="B8" s="7">
        <v>11503</v>
      </c>
    </row>
    <row r="9" spans="1:9" ht="16.3">
      <c r="A9" s="6" t="s">
        <v>22</v>
      </c>
      <c r="B9" s="14" t="s">
        <v>42</v>
      </c>
    </row>
    <row r="10" spans="1:9" ht="16.3">
      <c r="A10" s="6" t="s">
        <v>23</v>
      </c>
      <c r="B10" s="20" t="s">
        <v>69</v>
      </c>
    </row>
    <row r="11" spans="1:9" ht="16.3">
      <c r="A11" s="9" t="s">
        <v>25</v>
      </c>
      <c r="B11" s="9" t="s">
        <v>26</v>
      </c>
      <c r="C11" s="9" t="s">
        <v>6</v>
      </c>
      <c r="D11" s="9" t="s">
        <v>27</v>
      </c>
      <c r="E11" s="10" t="s">
        <v>28</v>
      </c>
      <c r="F11" s="10" t="s">
        <v>29</v>
      </c>
      <c r="G11" s="10" t="s">
        <v>30</v>
      </c>
      <c r="H11" s="9" t="s">
        <v>31</v>
      </c>
      <c r="I11" s="9" t="s">
        <v>32</v>
      </c>
    </row>
    <row r="12" spans="1:9" ht="16.3">
      <c r="A12" t="s">
        <v>49</v>
      </c>
      <c r="B12" t="s">
        <v>64</v>
      </c>
      <c r="C12" s="15" t="s">
        <v>40</v>
      </c>
      <c r="D12" s="17" t="s">
        <v>34</v>
      </c>
      <c r="E12" s="19">
        <v>2800</v>
      </c>
      <c r="F12" s="19">
        <v>140</v>
      </c>
      <c r="G12" s="19">
        <v>2940</v>
      </c>
      <c r="H12" s="25" t="s">
        <v>58</v>
      </c>
      <c r="I12" s="6" t="s">
        <v>33</v>
      </c>
    </row>
    <row r="13" spans="1:9" ht="16.3">
      <c r="A13" s="11" t="s">
        <v>74</v>
      </c>
      <c r="B13" s="11"/>
      <c r="C13" s="11"/>
      <c r="D13" s="11"/>
      <c r="E13" s="12">
        <v>2800</v>
      </c>
      <c r="F13" s="12">
        <v>140</v>
      </c>
      <c r="G13" s="12">
        <v>2940</v>
      </c>
      <c r="H13" s="11"/>
      <c r="I13" s="11"/>
    </row>
    <row r="16" spans="1:9" ht="16.3">
      <c r="A16" s="6" t="s">
        <v>21</v>
      </c>
      <c r="B16" s="7">
        <v>11503</v>
      </c>
    </row>
    <row r="17" spans="1:9" ht="16.3">
      <c r="A17" s="6" t="s">
        <v>22</v>
      </c>
      <c r="B17" s="14" t="s">
        <v>43</v>
      </c>
    </row>
    <row r="18" spans="1:9" ht="16.3">
      <c r="A18" s="6" t="s">
        <v>23</v>
      </c>
      <c r="B18" s="20" t="s">
        <v>70</v>
      </c>
    </row>
    <row r="19" spans="1:9" ht="16.3">
      <c r="A19" s="9" t="s">
        <v>25</v>
      </c>
      <c r="B19" s="9" t="s">
        <v>26</v>
      </c>
      <c r="C19" s="9" t="s">
        <v>6</v>
      </c>
      <c r="D19" s="9" t="s">
        <v>27</v>
      </c>
      <c r="E19" s="10" t="s">
        <v>28</v>
      </c>
      <c r="F19" s="10" t="s">
        <v>29</v>
      </c>
      <c r="G19" s="10" t="s">
        <v>30</v>
      </c>
      <c r="H19" s="9" t="s">
        <v>31</v>
      </c>
      <c r="I19" s="9" t="s">
        <v>32</v>
      </c>
    </row>
    <row r="20" spans="1:9" ht="16.3">
      <c r="A20" s="16" t="s">
        <v>50</v>
      </c>
      <c r="B20" t="s">
        <v>65</v>
      </c>
      <c r="C20" s="15" t="s">
        <v>35</v>
      </c>
      <c r="D20" s="17" t="s">
        <v>34</v>
      </c>
      <c r="E20" s="19">
        <v>2800</v>
      </c>
      <c r="F20" s="19">
        <v>140</v>
      </c>
      <c r="G20" s="19">
        <v>2940</v>
      </c>
      <c r="H20" s="25" t="s">
        <v>78</v>
      </c>
      <c r="I20" s="6" t="s">
        <v>33</v>
      </c>
    </row>
    <row r="21" spans="1:9" ht="16.3">
      <c r="A21" s="11" t="s">
        <v>76</v>
      </c>
      <c r="B21" s="11"/>
      <c r="C21" s="11"/>
      <c r="D21" s="11"/>
      <c r="E21" s="12">
        <v>2800</v>
      </c>
      <c r="F21" s="12">
        <v>140</v>
      </c>
      <c r="G21" s="12">
        <v>2940</v>
      </c>
      <c r="H21" s="11"/>
      <c r="I21" s="11"/>
    </row>
    <row r="23" spans="1:9" ht="16.3">
      <c r="A23" s="6" t="s">
        <v>21</v>
      </c>
      <c r="B23" s="7">
        <v>11503</v>
      </c>
    </row>
    <row r="24" spans="1:9" ht="16.3">
      <c r="A24" s="6" t="s">
        <v>22</v>
      </c>
      <c r="B24" s="14" t="s">
        <v>45</v>
      </c>
    </row>
    <row r="25" spans="1:9" ht="16.3">
      <c r="A25" s="6" t="s">
        <v>23</v>
      </c>
      <c r="B25" s="20" t="s">
        <v>71</v>
      </c>
    </row>
    <row r="26" spans="1:9" ht="16.3">
      <c r="A26" s="9" t="s">
        <v>25</v>
      </c>
      <c r="B26" s="9" t="s">
        <v>26</v>
      </c>
      <c r="C26" s="9" t="s">
        <v>6</v>
      </c>
      <c r="D26" s="9" t="s">
        <v>27</v>
      </c>
      <c r="E26" s="10" t="s">
        <v>28</v>
      </c>
      <c r="F26" s="10" t="s">
        <v>29</v>
      </c>
      <c r="G26" s="10" t="s">
        <v>30</v>
      </c>
      <c r="H26" s="9" t="s">
        <v>31</v>
      </c>
      <c r="I26" s="9" t="s">
        <v>32</v>
      </c>
    </row>
    <row r="27" spans="1:9" ht="16.3">
      <c r="A27" s="16" t="s">
        <v>51</v>
      </c>
      <c r="B27" t="s">
        <v>66</v>
      </c>
      <c r="C27" s="15" t="s">
        <v>36</v>
      </c>
      <c r="D27" s="17" t="s">
        <v>34</v>
      </c>
      <c r="E27" s="19">
        <v>2800</v>
      </c>
      <c r="F27" s="19">
        <v>140</v>
      </c>
      <c r="G27" s="19">
        <v>2940</v>
      </c>
      <c r="H27" s="25" t="s">
        <v>59</v>
      </c>
      <c r="I27" s="6" t="s">
        <v>33</v>
      </c>
    </row>
    <row r="28" spans="1:9" ht="16.3">
      <c r="A28" s="11" t="s">
        <v>79</v>
      </c>
      <c r="B28" s="11"/>
      <c r="C28" s="11"/>
      <c r="D28" s="11"/>
      <c r="E28" s="12">
        <v>2800</v>
      </c>
      <c r="F28" s="12">
        <v>140</v>
      </c>
      <c r="G28" s="12">
        <v>2940</v>
      </c>
      <c r="H28" s="11"/>
      <c r="I28" s="11"/>
    </row>
    <row r="30" spans="1:9" ht="16.3">
      <c r="A30" s="6" t="s">
        <v>21</v>
      </c>
      <c r="B30" s="7">
        <v>11503</v>
      </c>
    </row>
    <row r="31" spans="1:9" ht="16.3">
      <c r="A31" s="6" t="s">
        <v>22</v>
      </c>
      <c r="B31" s="14" t="s">
        <v>46</v>
      </c>
    </row>
    <row r="32" spans="1:9" ht="16.3">
      <c r="A32" s="6" t="s">
        <v>23</v>
      </c>
      <c r="B32" s="20" t="s">
        <v>72</v>
      </c>
    </row>
    <row r="33" spans="1:9" ht="16.3">
      <c r="A33" s="9" t="s">
        <v>25</v>
      </c>
      <c r="B33" s="9" t="s">
        <v>26</v>
      </c>
      <c r="C33" s="9" t="s">
        <v>6</v>
      </c>
      <c r="D33" s="9" t="s">
        <v>27</v>
      </c>
      <c r="E33" s="10" t="s">
        <v>28</v>
      </c>
      <c r="F33" s="10" t="s">
        <v>29</v>
      </c>
      <c r="G33" s="10" t="s">
        <v>30</v>
      </c>
      <c r="H33" s="9" t="s">
        <v>31</v>
      </c>
      <c r="I33" s="9" t="s">
        <v>32</v>
      </c>
    </row>
    <row r="34" spans="1:9" ht="16.3">
      <c r="A34" s="16" t="s">
        <v>52</v>
      </c>
      <c r="B34" t="s">
        <v>67</v>
      </c>
      <c r="C34" s="15" t="s">
        <v>39</v>
      </c>
      <c r="D34" s="17" t="s">
        <v>34</v>
      </c>
      <c r="E34" s="19">
        <v>2800</v>
      </c>
      <c r="F34" s="19">
        <v>140</v>
      </c>
      <c r="G34" s="19">
        <v>2940</v>
      </c>
      <c r="H34" s="25" t="s">
        <v>60</v>
      </c>
      <c r="I34" s="6" t="s">
        <v>33</v>
      </c>
    </row>
    <row r="35" spans="1:9" ht="16.3">
      <c r="A35" s="11" t="s">
        <v>80</v>
      </c>
      <c r="B35" s="11"/>
      <c r="C35" s="11"/>
      <c r="D35" s="11"/>
      <c r="E35" s="12">
        <v>2800</v>
      </c>
      <c r="F35" s="12">
        <v>140</v>
      </c>
      <c r="G35" s="12">
        <v>2940</v>
      </c>
      <c r="H35" s="11"/>
      <c r="I35" s="11"/>
    </row>
    <row r="37" spans="1:9" ht="16.3">
      <c r="A37" s="6" t="s">
        <v>21</v>
      </c>
      <c r="B37" s="7">
        <v>11503</v>
      </c>
    </row>
    <row r="38" spans="1:9" ht="16.3">
      <c r="A38" s="6" t="s">
        <v>22</v>
      </c>
      <c r="B38" s="14" t="s">
        <v>47</v>
      </c>
    </row>
    <row r="39" spans="1:9" ht="16.3">
      <c r="A39" s="6" t="s">
        <v>23</v>
      </c>
      <c r="B39" s="22" t="s">
        <v>73</v>
      </c>
    </row>
    <row r="40" spans="1:9" ht="16.3">
      <c r="A40" s="9" t="s">
        <v>25</v>
      </c>
      <c r="B40" s="9" t="s">
        <v>26</v>
      </c>
      <c r="C40" s="9" t="s">
        <v>6</v>
      </c>
      <c r="D40" s="9" t="s">
        <v>27</v>
      </c>
      <c r="E40" s="10" t="s">
        <v>28</v>
      </c>
      <c r="F40" s="10" t="s">
        <v>29</v>
      </c>
      <c r="G40" s="10" t="s">
        <v>30</v>
      </c>
      <c r="H40" s="9" t="s">
        <v>31</v>
      </c>
      <c r="I40" s="9" t="s">
        <v>32</v>
      </c>
    </row>
    <row r="41" spans="1:9" ht="16.3">
      <c r="A41" s="16" t="s">
        <v>53</v>
      </c>
      <c r="B41" t="s">
        <v>68</v>
      </c>
      <c r="C41" s="15" t="s">
        <v>37</v>
      </c>
      <c r="D41" s="17" t="s">
        <v>34</v>
      </c>
      <c r="E41" s="19">
        <v>2800</v>
      </c>
      <c r="F41" s="19">
        <v>140</v>
      </c>
      <c r="G41" s="19">
        <v>2940</v>
      </c>
      <c r="H41" s="25" t="s">
        <v>61</v>
      </c>
      <c r="I41" s="6" t="s">
        <v>33</v>
      </c>
    </row>
    <row r="42" spans="1:9" ht="16.3">
      <c r="A42" s="11" t="s">
        <v>81</v>
      </c>
      <c r="B42" s="11"/>
      <c r="C42" s="11"/>
      <c r="D42" s="11"/>
      <c r="E42" s="12">
        <v>2800</v>
      </c>
      <c r="F42" s="12">
        <v>140</v>
      </c>
      <c r="G42" s="12">
        <v>2940</v>
      </c>
      <c r="H42" s="11"/>
      <c r="I42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總表</vt:lpstr>
      <vt:lpstr>月報表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喜時國際股份有限公司 喜時</dc:creator>
  <cp:lastModifiedBy>喜時國際股份有限公司 喜時</cp:lastModifiedBy>
  <dcterms:created xsi:type="dcterms:W3CDTF">2026-04-09T09:04:45Z</dcterms:created>
  <dcterms:modified xsi:type="dcterms:W3CDTF">2026-04-09T09:16:15Z</dcterms:modified>
</cp:coreProperties>
</file>